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udee/Desktop/"/>
    </mc:Choice>
  </mc:AlternateContent>
  <xr:revisionPtr revIDLastSave="0" documentId="13_ncr:1_{8758CE5D-A091-D94C-8C79-5287CA931DEE}" xr6:coauthVersionLast="47" xr6:coauthVersionMax="47" xr10:uidLastSave="{00000000-0000-0000-0000-000000000000}"/>
  <bookViews>
    <workbookView xWindow="-1540" yWindow="-21100" windowWidth="35400" windowHeight="21100" xr2:uid="{5665EF76-948E-D046-8E0F-1999A214D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E36" i="1" s="1"/>
  <c r="F35" i="1"/>
  <c r="E35" i="1" s="1"/>
  <c r="F34" i="1"/>
  <c r="E34" i="1" s="1"/>
  <c r="F33" i="1"/>
  <c r="E33" i="1" s="1"/>
  <c r="F32" i="1"/>
  <c r="E32" i="1" s="1"/>
  <c r="F31" i="1"/>
  <c r="E31" i="1" s="1"/>
  <c r="F30" i="1"/>
  <c r="E30" i="1" s="1"/>
  <c r="F29" i="1"/>
  <c r="E29" i="1" s="1"/>
  <c r="F28" i="1"/>
  <c r="E28" i="1" s="1"/>
  <c r="F27" i="1"/>
  <c r="E27" i="1" s="1"/>
  <c r="F26" i="1"/>
  <c r="E26" i="1" s="1"/>
  <c r="F25" i="1"/>
  <c r="E25" i="1" s="1"/>
  <c r="F24" i="1"/>
  <c r="E24" i="1" s="1"/>
  <c r="F23" i="1"/>
  <c r="E23" i="1" s="1"/>
  <c r="F22" i="1"/>
  <c r="E22" i="1" s="1"/>
  <c r="F21" i="1"/>
  <c r="E21" i="1" s="1"/>
  <c r="F20" i="1"/>
  <c r="E20" i="1" s="1"/>
  <c r="F19" i="1"/>
  <c r="E19" i="1" s="1"/>
  <c r="F18" i="1"/>
  <c r="E18" i="1" s="1"/>
  <c r="F17" i="1"/>
  <c r="E17" i="1" s="1"/>
  <c r="F11" i="1"/>
  <c r="E11" i="1" s="1"/>
  <c r="F12" i="1"/>
  <c r="E12" i="1" s="1"/>
  <c r="E8" i="1"/>
  <c r="F8" i="1" s="1"/>
  <c r="E7" i="1"/>
  <c r="F7" i="1" s="1"/>
  <c r="E6" i="1"/>
  <c r="F6" i="1" s="1"/>
  <c r="E5" i="1"/>
  <c r="F5" i="1" s="1"/>
  <c r="E13" i="1"/>
  <c r="F13" i="1" s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E37" i="1" l="1"/>
  <c r="F37" i="1"/>
  <c r="F38" i="1" s="1"/>
  <c r="F39" i="1" s="1"/>
  <c r="F9" i="1"/>
  <c r="F14" i="1" s="1"/>
  <c r="E38" i="1"/>
  <c r="E39" i="1" s="1"/>
  <c r="E9" i="1"/>
  <c r="E14" i="1" s="1"/>
  <c r="F40" i="1" l="1"/>
  <c r="E40" i="1"/>
</calcChain>
</file>

<file path=xl/sharedStrings.xml><?xml version="1.0" encoding="utf-8"?>
<sst xmlns="http://schemas.openxmlformats.org/spreadsheetml/2006/main" count="50" uniqueCount="45">
  <si>
    <t>Payroll</t>
  </si>
  <si>
    <t>Activity</t>
  </si>
  <si>
    <t>#/mo</t>
  </si>
  <si>
    <t>Task Time (min)</t>
  </si>
  <si>
    <t>Ad Hoc Requests from Andrew</t>
  </si>
  <si>
    <t>#</t>
  </si>
  <si>
    <t>Contractor / Expense Payments</t>
  </si>
  <si>
    <t>Review / Approve Timesheets / Chase Down People</t>
  </si>
  <si>
    <t>Pay Bills</t>
  </si>
  <si>
    <t>Employee Onboarding</t>
  </si>
  <si>
    <t>Ad Hoc Requests from Others</t>
  </si>
  <si>
    <t>Employee Terminations</t>
  </si>
  <si>
    <t>Invoicing - Monthly</t>
  </si>
  <si>
    <t>Calendar Changes / Support</t>
  </si>
  <si>
    <t>Vacation</t>
  </si>
  <si>
    <t>Working Hours</t>
  </si>
  <si>
    <t>FTE</t>
  </si>
  <si>
    <t>Hrs/Mo</t>
  </si>
  <si>
    <t>Meetings</t>
  </si>
  <si>
    <t>Training</t>
  </si>
  <si>
    <t>Days/Yr</t>
  </si>
  <si>
    <t>Sick</t>
  </si>
  <si>
    <t>Holidays</t>
  </si>
  <si>
    <t>Troubleshoot IT Issues</t>
  </si>
  <si>
    <t>Process DocuSign / Contract Requests</t>
  </si>
  <si>
    <t>Daily Email Cleanup (unrelated to other activites)</t>
  </si>
  <si>
    <t>State Renewals / Annual Reports</t>
  </si>
  <si>
    <t>Troubleshoot State Issues</t>
  </si>
  <si>
    <t>Scan / Send Paperwork to Gusto</t>
  </si>
  <si>
    <t>State Registrations / Workers Comp / Withholding</t>
  </si>
  <si>
    <t>Projects (that are not included as activities below)</t>
  </si>
  <si>
    <t>Invoicing - Weekly (Arrowhead)</t>
  </si>
  <si>
    <t>Required for Activities (minutes)</t>
  </si>
  <si>
    <t>Required for Activities (hours)</t>
  </si>
  <si>
    <t>Productivity Uplift to Account for Other Lost Time (hours)</t>
  </si>
  <si>
    <t>Hours Available for Activities</t>
  </si>
  <si>
    <t>Annual</t>
  </si>
  <si>
    <t>Monthly</t>
  </si>
  <si>
    <t>Hrs/Yr</t>
  </si>
  <si>
    <t>Staff Required</t>
  </si>
  <si>
    <t>Base Capacity in Hours</t>
  </si>
  <si>
    <t>Resource Model</t>
  </si>
  <si>
    <t>Workflow Name:</t>
  </si>
  <si>
    <t>Voyage Office Support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</si>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</sst>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);[Red]\(0.0\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2" xfId="0" applyFill="1" applyBorder="1"/>
    <xf numFmtId="164" fontId="0" fillId="2" borderId="2" xfId="0" applyNumberFormat="1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164" fontId="3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5814-F1D4-4F43-AEAE-6F8D27AD327E}">
  <dimension ref="A1:F40"/>
  <sheetViews>
    <sheetView tabSelected="1" zoomScale="150" zoomScaleNormal="150" workbookViewId="0">
      <selection activeCell="A2" sqref="A2"/>
    </sheetView>
  </sheetViews>
  <sheetFormatPr baseColWidth="10" defaultRowHeight="16" x14ac:dyDescent="0.2"/>
  <cols>
    <col min="1" max="1" width="14.33203125" style="1" bestFit="1" customWidth="1"/>
    <col min="2" max="2" width="42.6640625" bestFit="1" customWidth="1"/>
    <col min="3" max="5" width="12.83203125" style="4" customWidth="1"/>
    <col min="6" max="6" width="10.83203125" style="4"/>
  </cols>
  <sheetData>
    <row r="1" spans="1:6" x14ac:dyDescent="0.2">
      <c r="A1" s="20" t="s">
        <v>42</v>
      </c>
      <c r="B1" t="s">
        <v>43</v>
      </c>
    </row>
    <row r="2" spans="1:6" x14ac:dyDescent="0.2">
      <c r="A2" s="19" t="s">
        <v>41</v>
      </c>
    </row>
    <row r="4" spans="1:6" x14ac:dyDescent="0.2">
      <c r="A4" s="14"/>
      <c r="B4" s="9" t="s">
        <v>44</v>
      </c>
      <c r="C4" s="10"/>
      <c r="D4" s="10"/>
      <c r="E4" s="10" t="s">
        <v>36</v>
      </c>
      <c r="F4" s="10" t="s">
        <v>37</v>
      </c>
    </row>
    <row r="5" spans="1:6" x14ac:dyDescent="0.2">
      <c r="B5" t="s">
        <v>40</v>
      </c>
      <c r="C5" s="12">
        <v>1</v>
      </c>
      <c r="D5" s="4" t="s">
        <v>16</v>
      </c>
      <c r="E5" s="4">
        <f>52*40</f>
        <v>2080</v>
      </c>
      <c r="F5" s="4">
        <f>E5/12</f>
        <v>173.33333333333334</v>
      </c>
    </row>
    <row r="6" spans="1:6" x14ac:dyDescent="0.2">
      <c r="B6" t="s">
        <v>22</v>
      </c>
      <c r="C6" s="12">
        <v>9</v>
      </c>
      <c r="D6" s="4" t="s">
        <v>20</v>
      </c>
      <c r="E6" s="4">
        <f>-C6*8</f>
        <v>-72</v>
      </c>
      <c r="F6" s="4">
        <f>E6/12</f>
        <v>-6</v>
      </c>
    </row>
    <row r="7" spans="1:6" x14ac:dyDescent="0.2">
      <c r="B7" t="s">
        <v>14</v>
      </c>
      <c r="C7" s="12">
        <v>20</v>
      </c>
      <c r="D7" s="4" t="s">
        <v>20</v>
      </c>
      <c r="E7" s="4">
        <f>-C7*8</f>
        <v>-160</v>
      </c>
      <c r="F7" s="4">
        <f>E7/12</f>
        <v>-13.333333333333334</v>
      </c>
    </row>
    <row r="8" spans="1:6" x14ac:dyDescent="0.2">
      <c r="B8" t="s">
        <v>21</v>
      </c>
      <c r="C8" s="12">
        <v>1</v>
      </c>
      <c r="D8" s="4" t="s">
        <v>20</v>
      </c>
      <c r="E8" s="4">
        <f>-C8*8</f>
        <v>-8</v>
      </c>
      <c r="F8" s="4">
        <f>E8/12</f>
        <v>-0.66666666666666663</v>
      </c>
    </row>
    <row r="9" spans="1:6" x14ac:dyDescent="0.2">
      <c r="A9" s="8"/>
      <c r="B9" s="6" t="s">
        <v>15</v>
      </c>
      <c r="C9" s="7"/>
      <c r="D9" s="7"/>
      <c r="E9" s="7">
        <f>SUM(E5:E8)</f>
        <v>1840</v>
      </c>
      <c r="F9" s="7">
        <f>SUM(F5:F8)</f>
        <v>153.33333333333334</v>
      </c>
    </row>
    <row r="11" spans="1:6" x14ac:dyDescent="0.2">
      <c r="B11" t="s">
        <v>30</v>
      </c>
      <c r="C11" s="12">
        <v>8</v>
      </c>
      <c r="D11" s="4" t="s">
        <v>17</v>
      </c>
      <c r="E11" s="4">
        <f>F11*12</f>
        <v>-96</v>
      </c>
      <c r="F11" s="4">
        <f>-C11</f>
        <v>-8</v>
      </c>
    </row>
    <row r="12" spans="1:6" x14ac:dyDescent="0.2">
      <c r="B12" t="s">
        <v>18</v>
      </c>
      <c r="C12" s="12">
        <v>4</v>
      </c>
      <c r="D12" s="4" t="s">
        <v>17</v>
      </c>
      <c r="E12" s="4">
        <f>F12*12</f>
        <v>-48</v>
      </c>
      <c r="F12" s="4">
        <f>-C12</f>
        <v>-4</v>
      </c>
    </row>
    <row r="13" spans="1:6" x14ac:dyDescent="0.2">
      <c r="B13" t="s">
        <v>19</v>
      </c>
      <c r="C13" s="12">
        <v>40</v>
      </c>
      <c r="D13" s="4" t="s">
        <v>38</v>
      </c>
      <c r="E13" s="4">
        <f>-C13</f>
        <v>-40</v>
      </c>
      <c r="F13" s="4">
        <f>E13/12</f>
        <v>-3.3333333333333335</v>
      </c>
    </row>
    <row r="14" spans="1:6" x14ac:dyDescent="0.2">
      <c r="A14" s="3"/>
      <c r="B14" s="6" t="s">
        <v>35</v>
      </c>
      <c r="C14" s="7"/>
      <c r="D14" s="7"/>
      <c r="E14" s="7">
        <f>SUM(E9:E13)</f>
        <v>1656</v>
      </c>
      <c r="F14" s="7">
        <f>SUM(F9:F13)</f>
        <v>138</v>
      </c>
    </row>
    <row r="16" spans="1:6" x14ac:dyDescent="0.2">
      <c r="A16" s="16" t="s">
        <v>5</v>
      </c>
      <c r="B16" s="17" t="s">
        <v>1</v>
      </c>
      <c r="C16" s="18" t="s">
        <v>3</v>
      </c>
      <c r="D16" s="18" t="s">
        <v>2</v>
      </c>
      <c r="E16" s="10" t="s">
        <v>36</v>
      </c>
      <c r="F16" s="10" t="s">
        <v>37</v>
      </c>
    </row>
    <row r="17" spans="1:6" x14ac:dyDescent="0.2">
      <c r="A17" s="1">
        <v>1</v>
      </c>
      <c r="B17" s="11" t="s">
        <v>4</v>
      </c>
      <c r="C17" s="12">
        <v>30</v>
      </c>
      <c r="D17" s="12">
        <v>20</v>
      </c>
      <c r="E17" s="4">
        <f>F17*12</f>
        <v>7200</v>
      </c>
      <c r="F17" s="4">
        <f>C17*D17</f>
        <v>600</v>
      </c>
    </row>
    <row r="18" spans="1:6" x14ac:dyDescent="0.2">
      <c r="A18" s="1">
        <f>A17+1</f>
        <v>2</v>
      </c>
      <c r="B18" s="11" t="s">
        <v>10</v>
      </c>
      <c r="C18" s="12">
        <v>30</v>
      </c>
      <c r="D18" s="12">
        <v>20</v>
      </c>
      <c r="E18" s="4">
        <f t="shared" ref="E18:E36" si="0">F18*12</f>
        <v>7200</v>
      </c>
      <c r="F18" s="4">
        <f t="shared" ref="F18:F36" si="1">C18*D18</f>
        <v>600</v>
      </c>
    </row>
    <row r="19" spans="1:6" x14ac:dyDescent="0.2">
      <c r="A19" s="1">
        <f t="shared" ref="A19:A36" si="2">A18+1</f>
        <v>3</v>
      </c>
      <c r="B19" s="11" t="s">
        <v>13</v>
      </c>
      <c r="C19" s="12">
        <v>15</v>
      </c>
      <c r="D19" s="12">
        <v>8</v>
      </c>
      <c r="E19" s="4">
        <f t="shared" si="0"/>
        <v>1440</v>
      </c>
      <c r="F19" s="4">
        <f t="shared" si="1"/>
        <v>120</v>
      </c>
    </row>
    <row r="20" spans="1:6" x14ac:dyDescent="0.2">
      <c r="A20" s="1">
        <f t="shared" si="2"/>
        <v>4</v>
      </c>
      <c r="B20" s="11" t="s">
        <v>6</v>
      </c>
      <c r="C20" s="12">
        <v>60</v>
      </c>
      <c r="D20" s="12">
        <v>2</v>
      </c>
      <c r="E20" s="4">
        <f t="shared" si="0"/>
        <v>1440</v>
      </c>
      <c r="F20" s="4">
        <f t="shared" si="1"/>
        <v>120</v>
      </c>
    </row>
    <row r="21" spans="1:6" x14ac:dyDescent="0.2">
      <c r="A21" s="1">
        <f t="shared" si="2"/>
        <v>5</v>
      </c>
      <c r="B21" s="11" t="s">
        <v>25</v>
      </c>
      <c r="C21" s="12">
        <v>30</v>
      </c>
      <c r="D21" s="12">
        <v>20</v>
      </c>
      <c r="E21" s="4">
        <f t="shared" si="0"/>
        <v>7200</v>
      </c>
      <c r="F21" s="4">
        <f t="shared" si="1"/>
        <v>600</v>
      </c>
    </row>
    <row r="22" spans="1:6" x14ac:dyDescent="0.2">
      <c r="A22" s="1">
        <f t="shared" si="2"/>
        <v>6</v>
      </c>
      <c r="B22" s="11" t="s">
        <v>9</v>
      </c>
      <c r="C22" s="12">
        <v>120</v>
      </c>
      <c r="D22" s="12">
        <v>2</v>
      </c>
      <c r="E22" s="4">
        <f t="shared" si="0"/>
        <v>2880</v>
      </c>
      <c r="F22" s="4">
        <f t="shared" si="1"/>
        <v>240</v>
      </c>
    </row>
    <row r="23" spans="1:6" x14ac:dyDescent="0.2">
      <c r="A23" s="1">
        <f t="shared" si="2"/>
        <v>7</v>
      </c>
      <c r="B23" s="11" t="s">
        <v>11</v>
      </c>
      <c r="C23" s="12">
        <v>120</v>
      </c>
      <c r="D23" s="12">
        <v>2</v>
      </c>
      <c r="E23" s="4">
        <f t="shared" si="0"/>
        <v>2880</v>
      </c>
      <c r="F23" s="4">
        <f t="shared" si="1"/>
        <v>240</v>
      </c>
    </row>
    <row r="24" spans="1:6" x14ac:dyDescent="0.2">
      <c r="A24" s="1">
        <f t="shared" si="2"/>
        <v>8</v>
      </c>
      <c r="B24" s="11" t="s">
        <v>31</v>
      </c>
      <c r="C24" s="13">
        <v>30</v>
      </c>
      <c r="D24" s="12">
        <v>4</v>
      </c>
      <c r="E24" s="4">
        <f t="shared" si="0"/>
        <v>1440</v>
      </c>
      <c r="F24" s="4">
        <f t="shared" si="1"/>
        <v>120</v>
      </c>
    </row>
    <row r="25" spans="1:6" x14ac:dyDescent="0.2">
      <c r="A25" s="1">
        <f t="shared" si="2"/>
        <v>9</v>
      </c>
      <c r="B25" s="11" t="s">
        <v>12</v>
      </c>
      <c r="C25" s="12">
        <v>180</v>
      </c>
      <c r="D25" s="12">
        <v>1</v>
      </c>
      <c r="E25" s="4">
        <f t="shared" si="0"/>
        <v>2160</v>
      </c>
      <c r="F25" s="4">
        <f t="shared" si="1"/>
        <v>180</v>
      </c>
    </row>
    <row r="26" spans="1:6" x14ac:dyDescent="0.2">
      <c r="A26" s="1">
        <f t="shared" si="2"/>
        <v>10</v>
      </c>
      <c r="B26" s="11" t="s">
        <v>8</v>
      </c>
      <c r="C26" s="12">
        <v>15</v>
      </c>
      <c r="D26" s="12">
        <v>10</v>
      </c>
      <c r="E26" s="4">
        <f t="shared" si="0"/>
        <v>1800</v>
      </c>
      <c r="F26" s="4">
        <f t="shared" si="1"/>
        <v>150</v>
      </c>
    </row>
    <row r="27" spans="1:6" x14ac:dyDescent="0.2">
      <c r="A27" s="1">
        <f t="shared" si="2"/>
        <v>11</v>
      </c>
      <c r="B27" s="11" t="s">
        <v>0</v>
      </c>
      <c r="C27" s="12">
        <v>90</v>
      </c>
      <c r="D27" s="12">
        <v>2</v>
      </c>
      <c r="E27" s="4">
        <f t="shared" si="0"/>
        <v>2160</v>
      </c>
      <c r="F27" s="4">
        <f t="shared" si="1"/>
        <v>180</v>
      </c>
    </row>
    <row r="28" spans="1:6" x14ac:dyDescent="0.2">
      <c r="A28" s="1">
        <f t="shared" si="2"/>
        <v>12</v>
      </c>
      <c r="B28" s="11" t="s">
        <v>24</v>
      </c>
      <c r="C28" s="12">
        <v>15</v>
      </c>
      <c r="D28" s="12">
        <v>12</v>
      </c>
      <c r="E28" s="4">
        <f t="shared" si="0"/>
        <v>2160</v>
      </c>
      <c r="F28" s="4">
        <f t="shared" si="1"/>
        <v>180</v>
      </c>
    </row>
    <row r="29" spans="1:6" x14ac:dyDescent="0.2">
      <c r="A29" s="1">
        <f t="shared" si="2"/>
        <v>13</v>
      </c>
      <c r="B29" s="11" t="s">
        <v>7</v>
      </c>
      <c r="C29" s="12">
        <v>90</v>
      </c>
      <c r="D29" s="12">
        <v>4</v>
      </c>
      <c r="E29" s="4">
        <f t="shared" si="0"/>
        <v>4320</v>
      </c>
      <c r="F29" s="4">
        <f t="shared" si="1"/>
        <v>360</v>
      </c>
    </row>
    <row r="30" spans="1:6" x14ac:dyDescent="0.2">
      <c r="A30" s="1">
        <f t="shared" si="2"/>
        <v>14</v>
      </c>
      <c r="B30" s="11" t="s">
        <v>28</v>
      </c>
      <c r="C30" s="12">
        <v>30</v>
      </c>
      <c r="D30" s="12">
        <v>4</v>
      </c>
      <c r="E30" s="4">
        <f t="shared" si="0"/>
        <v>1440</v>
      </c>
      <c r="F30" s="4">
        <f t="shared" si="1"/>
        <v>120</v>
      </c>
    </row>
    <row r="31" spans="1:6" x14ac:dyDescent="0.2">
      <c r="A31" s="1">
        <f t="shared" si="2"/>
        <v>15</v>
      </c>
      <c r="B31" s="11" t="s">
        <v>26</v>
      </c>
      <c r="C31" s="12">
        <v>30</v>
      </c>
      <c r="D31" s="12">
        <v>2</v>
      </c>
      <c r="E31" s="4">
        <f t="shared" si="0"/>
        <v>720</v>
      </c>
      <c r="F31" s="4">
        <f t="shared" si="1"/>
        <v>60</v>
      </c>
    </row>
    <row r="32" spans="1:6" x14ac:dyDescent="0.2">
      <c r="A32" s="1">
        <f t="shared" si="2"/>
        <v>16</v>
      </c>
      <c r="B32" s="11" t="s">
        <v>29</v>
      </c>
      <c r="C32" s="12">
        <v>90</v>
      </c>
      <c r="D32" s="12">
        <v>0.8</v>
      </c>
      <c r="E32" s="4">
        <f t="shared" si="0"/>
        <v>864</v>
      </c>
      <c r="F32" s="4">
        <f t="shared" si="1"/>
        <v>72</v>
      </c>
    </row>
    <row r="33" spans="1:6" x14ac:dyDescent="0.2">
      <c r="A33" s="1">
        <f t="shared" si="2"/>
        <v>17</v>
      </c>
      <c r="B33" s="11" t="s">
        <v>23</v>
      </c>
      <c r="C33" s="12">
        <v>30</v>
      </c>
      <c r="D33" s="12">
        <v>4</v>
      </c>
      <c r="E33" s="4">
        <f t="shared" si="0"/>
        <v>1440</v>
      </c>
      <c r="F33" s="4">
        <f t="shared" si="1"/>
        <v>120</v>
      </c>
    </row>
    <row r="34" spans="1:6" x14ac:dyDescent="0.2">
      <c r="A34" s="1">
        <f t="shared" si="2"/>
        <v>18</v>
      </c>
      <c r="B34" s="11" t="s">
        <v>27</v>
      </c>
      <c r="C34" s="12">
        <v>60</v>
      </c>
      <c r="D34" s="12">
        <v>2</v>
      </c>
      <c r="E34" s="4">
        <f t="shared" si="0"/>
        <v>1440</v>
      </c>
      <c r="F34" s="4">
        <f t="shared" si="1"/>
        <v>120</v>
      </c>
    </row>
    <row r="35" spans="1:6" x14ac:dyDescent="0.2">
      <c r="A35" s="1">
        <f t="shared" si="2"/>
        <v>19</v>
      </c>
      <c r="B35" s="11"/>
      <c r="C35" s="12"/>
      <c r="D35" s="12"/>
      <c r="E35" s="4">
        <f t="shared" si="0"/>
        <v>0</v>
      </c>
      <c r="F35" s="4">
        <f t="shared" si="1"/>
        <v>0</v>
      </c>
    </row>
    <row r="36" spans="1:6" x14ac:dyDescent="0.2">
      <c r="A36" s="1">
        <f t="shared" si="2"/>
        <v>20</v>
      </c>
      <c r="B36" s="11"/>
      <c r="C36" s="12"/>
      <c r="D36" s="12"/>
      <c r="E36" s="4">
        <f t="shared" si="0"/>
        <v>0</v>
      </c>
      <c r="F36" s="4">
        <f t="shared" si="1"/>
        <v>0</v>
      </c>
    </row>
    <row r="37" spans="1:6" x14ac:dyDescent="0.2">
      <c r="A37" s="3"/>
      <c r="B37" s="2" t="s">
        <v>32</v>
      </c>
      <c r="C37" s="5"/>
      <c r="D37" s="5"/>
      <c r="E37" s="5">
        <f>SUM(E17:E36)</f>
        <v>50184</v>
      </c>
      <c r="F37" s="5">
        <f>SUM(F17:F36)</f>
        <v>4182</v>
      </c>
    </row>
    <row r="38" spans="1:6" x14ac:dyDescent="0.2">
      <c r="B38" t="s">
        <v>33</v>
      </c>
      <c r="E38" s="4">
        <f>E37/60</f>
        <v>836.4</v>
      </c>
      <c r="F38" s="4">
        <f>F37/60</f>
        <v>69.7</v>
      </c>
    </row>
    <row r="39" spans="1:6" x14ac:dyDescent="0.2">
      <c r="B39" t="s">
        <v>34</v>
      </c>
      <c r="D39" s="15">
        <v>0.85</v>
      </c>
      <c r="E39" s="4">
        <f>(E38/$D39)-E38</f>
        <v>147.60000000000002</v>
      </c>
      <c r="F39" s="4">
        <f>(F38/$D39)-F38</f>
        <v>12.299999999999997</v>
      </c>
    </row>
    <row r="40" spans="1:6" x14ac:dyDescent="0.2">
      <c r="A40" s="3"/>
      <c r="B40" s="6" t="s">
        <v>39</v>
      </c>
      <c r="C40" s="7"/>
      <c r="D40" s="7"/>
      <c r="E40" s="7">
        <f>SUM(E38:E39)/E14</f>
        <v>0.59420289855072461</v>
      </c>
      <c r="F40" s="7">
        <f>SUM(F38:F39)/F14</f>
        <v>0.59420289855072461</v>
      </c>
    </row>
  </sheetData>
  <sortState xmlns:xlrd2="http://schemas.microsoft.com/office/spreadsheetml/2017/richdata2" ref="B17:E34">
    <sortCondition ref="B17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Studee</dc:creator>
  <cp:lastModifiedBy>Andrew Studee</cp:lastModifiedBy>
  <dcterms:created xsi:type="dcterms:W3CDTF">2024-12-04T18:17:17Z</dcterms:created>
  <dcterms:modified xsi:type="dcterms:W3CDTF">2026-01-22T06:46:22Z</dcterms:modified>
</cp:coreProperties>
</file>